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Excel\Excel_Project_Work\Emp Management\"/>
    </mc:Choice>
  </mc:AlternateContent>
  <xr:revisionPtr revIDLastSave="0" documentId="13_ncr:1_{BEF95241-A750-4132-B308-C5B156A46905}" xr6:coauthVersionLast="47" xr6:coauthVersionMax="47" xr10:uidLastSave="{00000000-0000-0000-0000-000000000000}"/>
  <bookViews>
    <workbookView xWindow="-108" yWindow="-108" windowWidth="23256" windowHeight="12456" xr2:uid="{7FA3F861-2B47-4A56-99BD-2DE969C49E33}"/>
  </bookViews>
  <sheets>
    <sheet name="Student" sheetId="1" r:id="rId1"/>
    <sheet name="Sales Data" sheetId="2" r:id="rId2"/>
    <sheet name="Employee Dat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" i="1" l="1"/>
  <c r="L2" i="1"/>
  <c r="B15" i="1" a="1"/>
  <c r="B15" i="1" s="1"/>
  <c r="C15" i="1" a="1"/>
  <c r="C15" i="1" s="1"/>
  <c r="L3" i="2"/>
  <c r="L4" i="2"/>
  <c r="L5" i="2"/>
  <c r="L6" i="2"/>
  <c r="L7" i="2"/>
  <c r="L8" i="2"/>
  <c r="L9" i="2"/>
  <c r="L10" i="2"/>
  <c r="L11" i="2"/>
  <c r="L2" i="2"/>
  <c r="L3" i="1"/>
  <c r="L4" i="1"/>
  <c r="L5" i="1"/>
  <c r="L6" i="1"/>
  <c r="L7" i="1"/>
  <c r="L8" i="1"/>
  <c r="L9" i="1"/>
  <c r="L10" i="1"/>
  <c r="L11" i="1"/>
  <c r="K3" i="1"/>
  <c r="K4" i="1"/>
  <c r="K5" i="1"/>
  <c r="K6" i="1"/>
  <c r="K7" i="1"/>
  <c r="K8" i="1"/>
  <c r="K9" i="1"/>
  <c r="K10" i="1"/>
  <c r="K11" i="1"/>
  <c r="K2" i="1"/>
  <c r="I3" i="1"/>
  <c r="I4" i="1"/>
  <c r="I5" i="1"/>
  <c r="I6" i="1"/>
  <c r="I7" i="1"/>
  <c r="I8" i="1"/>
  <c r="I9" i="1"/>
  <c r="I10" i="1"/>
  <c r="I11" i="1"/>
  <c r="I2" i="1"/>
  <c r="Q1" i="1"/>
  <c r="H3" i="3"/>
  <c r="H4" i="3"/>
  <c r="H5" i="3"/>
  <c r="H6" i="3"/>
  <c r="H7" i="3"/>
  <c r="H8" i="3"/>
  <c r="H9" i="3"/>
  <c r="H10" i="3"/>
  <c r="H11" i="3"/>
  <c r="H2" i="3"/>
  <c r="G3" i="3"/>
  <c r="G4" i="3"/>
  <c r="G5" i="3"/>
  <c r="G6" i="3"/>
  <c r="G7" i="3"/>
  <c r="G8" i="3"/>
  <c r="G9" i="3"/>
  <c r="G10" i="3"/>
  <c r="G11" i="3"/>
  <c r="G2" i="3"/>
  <c r="F3" i="3"/>
  <c r="F4" i="3"/>
  <c r="F5" i="3"/>
  <c r="F6" i="3"/>
  <c r="F7" i="3"/>
  <c r="F8" i="3"/>
  <c r="F9" i="3"/>
  <c r="F10" i="3"/>
  <c r="F11" i="3"/>
  <c r="F2" i="3"/>
  <c r="E14" i="3"/>
  <c r="B15" i="3"/>
  <c r="B16" i="3"/>
  <c r="B14" i="3"/>
  <c r="J15" i="2"/>
  <c r="M3" i="1"/>
  <c r="M4" i="1"/>
  <c r="M5" i="1"/>
  <c r="M6" i="1"/>
  <c r="M7" i="1"/>
  <c r="M8" i="1"/>
  <c r="M9" i="1"/>
  <c r="M10" i="1"/>
  <c r="M11" i="1"/>
  <c r="M2" i="1"/>
  <c r="B18" i="2"/>
  <c r="C15" i="2"/>
  <c r="K3" i="2" a="1"/>
  <c r="K3" i="2" s="1"/>
  <c r="K4" i="2" a="1"/>
  <c r="K4" i="2" s="1"/>
  <c r="K5" i="2" a="1"/>
  <c r="K5" i="2" s="1"/>
  <c r="K6" i="2" a="1"/>
  <c r="K6" i="2" s="1"/>
  <c r="K7" i="2" a="1"/>
  <c r="K7" i="2" s="1"/>
  <c r="K8" i="2" a="1"/>
  <c r="K8" i="2" s="1"/>
  <c r="K9" i="2" a="1"/>
  <c r="K9" i="2" s="1"/>
  <c r="K10" i="2" a="1"/>
  <c r="K10" i="2" s="1"/>
  <c r="K11" i="2" a="1"/>
  <c r="K11" i="2" s="1"/>
  <c r="K2" i="2" a="1"/>
  <c r="K2" i="2" s="1"/>
  <c r="I3" i="2"/>
  <c r="I4" i="2"/>
  <c r="I5" i="2"/>
  <c r="I6" i="2"/>
  <c r="F18" i="2" s="1"/>
  <c r="I7" i="2"/>
  <c r="I8" i="2"/>
  <c r="I9" i="2"/>
  <c r="I10" i="2"/>
  <c r="I11" i="2"/>
  <c r="N15" i="2" s="1"/>
  <c r="I2" i="2"/>
  <c r="G15" i="2" s="1" a="1"/>
  <c r="G15" i="2" s="1"/>
  <c r="Q5" i="1"/>
  <c r="J3" i="1"/>
  <c r="J4" i="1"/>
  <c r="J5" i="1"/>
  <c r="J6" i="1"/>
  <c r="J7" i="1"/>
  <c r="J8" i="1"/>
  <c r="J9" i="1"/>
  <c r="J10" i="1"/>
  <c r="J11" i="1"/>
  <c r="J2" i="1"/>
  <c r="H3" i="1"/>
  <c r="H4" i="1"/>
  <c r="H5" i="1"/>
  <c r="H6" i="1"/>
  <c r="H7" i="1"/>
  <c r="H8" i="1"/>
  <c r="H9" i="1"/>
  <c r="H10" i="1"/>
  <c r="H11" i="1"/>
  <c r="H2" i="1"/>
  <c r="G3" i="1" a="1"/>
  <c r="G3" i="1" s="1"/>
  <c r="G4" i="1" a="1"/>
  <c r="G4" i="1" s="1"/>
  <c r="G5" i="1" a="1"/>
  <c r="G5" i="1" s="1"/>
  <c r="G6" i="1" a="1"/>
  <c r="G6" i="1" s="1"/>
  <c r="G7" i="1" a="1"/>
  <c r="G7" i="1" s="1"/>
  <c r="G8" i="1" a="1"/>
  <c r="G8" i="1" s="1"/>
  <c r="G9" i="1" a="1"/>
  <c r="G9" i="1" s="1"/>
  <c r="G10" i="1" a="1"/>
  <c r="G10" i="1" s="1"/>
  <c r="G11" i="1" a="1"/>
  <c r="G11" i="1" s="1"/>
  <c r="G2" i="1" a="1"/>
  <c r="G2" i="1" s="1"/>
  <c r="F3" i="1"/>
  <c r="F4" i="1"/>
  <c r="F5" i="1"/>
  <c r="F6" i="1"/>
  <c r="F7" i="1"/>
  <c r="F8" i="1"/>
  <c r="F9" i="1"/>
  <c r="F10" i="1"/>
  <c r="F11" i="1"/>
  <c r="J18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<sst xmlns="http://schemas.openxmlformats.org/spreadsheetml/2006/main" count="147" uniqueCount="97">
  <si>
    <t>Student ID</t>
  </si>
  <si>
    <t>Full Name</t>
  </si>
  <si>
    <t>DOB</t>
  </si>
  <si>
    <t>Math</t>
  </si>
  <si>
    <t>Science</t>
  </si>
  <si>
    <t>Grade</t>
  </si>
  <si>
    <t>Aarav Sharma</t>
  </si>
  <si>
    <t>Priya Nair</t>
  </si>
  <si>
    <t>Rohan Mehta</t>
  </si>
  <si>
    <t>Sneha Iyer</t>
  </si>
  <si>
    <t>Karan Verma</t>
  </si>
  <si>
    <t>Diya Patel</t>
  </si>
  <si>
    <t>Arjun Singh</t>
  </si>
  <si>
    <t>Meera Joshi</t>
  </si>
  <si>
    <t>Vivaan Gupta</t>
  </si>
  <si>
    <t>Anaya Reddy</t>
  </si>
  <si>
    <t>Average</t>
  </si>
  <si>
    <t>Above 80 in SCI &amp; MATH</t>
  </si>
  <si>
    <t>Fetch Student ID:-</t>
  </si>
  <si>
    <t>Fetch Colum Number:-</t>
  </si>
  <si>
    <t>Fetched:-</t>
  </si>
  <si>
    <t>First Name</t>
  </si>
  <si>
    <t>Count of Student Math&gt;50</t>
  </si>
  <si>
    <t>Rank</t>
  </si>
  <si>
    <t>Student Name</t>
  </si>
  <si>
    <t>Score</t>
  </si>
  <si>
    <t>Sales ID</t>
  </si>
  <si>
    <t>Region</t>
  </si>
  <si>
    <t>Product</t>
  </si>
  <si>
    <t>Product code</t>
  </si>
  <si>
    <t>Sales Person</t>
  </si>
  <si>
    <t>Month</t>
  </si>
  <si>
    <t>Price</t>
  </si>
  <si>
    <t>Quantity</t>
  </si>
  <si>
    <t>Sales Amount</t>
  </si>
  <si>
    <t>Discount %</t>
  </si>
  <si>
    <t>North</t>
  </si>
  <si>
    <t>South</t>
  </si>
  <si>
    <t>East</t>
  </si>
  <si>
    <t>West</t>
  </si>
  <si>
    <t>Laptop</t>
  </si>
  <si>
    <t>Monitor</t>
  </si>
  <si>
    <t>Keyboard</t>
  </si>
  <si>
    <t>Mouse</t>
  </si>
  <si>
    <t>Rahul Desai</t>
  </si>
  <si>
    <t>Neha Kulkarni</t>
  </si>
  <si>
    <t>Aman Bose</t>
  </si>
  <si>
    <t>Sonal Kapoor</t>
  </si>
  <si>
    <t>Jan</t>
  </si>
  <si>
    <t>Feb</t>
  </si>
  <si>
    <t>Mar</t>
  </si>
  <si>
    <t>Apr</t>
  </si>
  <si>
    <t>May</t>
  </si>
  <si>
    <t xml:space="preserve">Total Sales </t>
  </si>
  <si>
    <t>Product Code</t>
  </si>
  <si>
    <t>Sales</t>
  </si>
  <si>
    <t>Row Position</t>
  </si>
  <si>
    <t>Sum using INDIRECT</t>
  </si>
  <si>
    <t>Reference</t>
  </si>
  <si>
    <t>I2:I11</t>
  </si>
  <si>
    <t>Recent Sales Total</t>
  </si>
  <si>
    <t>Trend Total</t>
  </si>
  <si>
    <t>Date</t>
  </si>
  <si>
    <t>Age</t>
  </si>
  <si>
    <t>18-08-2026</t>
  </si>
  <si>
    <t>28-08-2026</t>
  </si>
  <si>
    <t>30-04-2026</t>
  </si>
  <si>
    <t>20-03-2026</t>
  </si>
  <si>
    <t>Employee ID</t>
  </si>
  <si>
    <t>Name</t>
  </si>
  <si>
    <t>Department</t>
  </si>
  <si>
    <t>Salary</t>
  </si>
  <si>
    <t>Joining Date</t>
  </si>
  <si>
    <t>Nikhil Bhatt</t>
  </si>
  <si>
    <t>Pooja Menon</t>
  </si>
  <si>
    <t>Sameer Khan</t>
  </si>
  <si>
    <t>Ritu Chawla</t>
  </si>
  <si>
    <t>Devansh Rao</t>
  </si>
  <si>
    <t>Kavya Pillai</t>
  </si>
  <si>
    <t>Yash Trivedi</t>
  </si>
  <si>
    <t>Alisha Dutta</t>
  </si>
  <si>
    <t>Tirth Donga</t>
  </si>
  <si>
    <t>Virat Patel</t>
  </si>
  <si>
    <t>Marketing</t>
  </si>
  <si>
    <t>Finance</t>
  </si>
  <si>
    <t>HR</t>
  </si>
  <si>
    <t>IT</t>
  </si>
  <si>
    <t>30-06-2025</t>
  </si>
  <si>
    <t>21-08-2023</t>
  </si>
  <si>
    <t>Employee Name</t>
  </si>
  <si>
    <t>Salary (Ceil)</t>
  </si>
  <si>
    <t>Salary (Floor)</t>
  </si>
  <si>
    <t>Average Score Above 60</t>
  </si>
  <si>
    <t>Name (Upper)</t>
  </si>
  <si>
    <t>Name (Lower)</t>
  </si>
  <si>
    <t xml:space="preserve">Discound Eligible </t>
  </si>
  <si>
    <t>Salary (Round)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</si>
</sst>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₹-446]\ #,##0"/>
    <numFmt numFmtId="165" formatCode="[$₹-447]#,##0"/>
    <numFmt numFmtId="166" formatCode="dd\-mm\-yyyy"/>
    <numFmt numFmtId="167" formatCode="[$-14009]dd\-mm\-yyyy;@"/>
    <numFmt numFmtId="168" formatCode="[$₹-4009]\ #,##0.00"/>
    <numFmt numFmtId="169" formatCode="[$₹-4009]\ #,##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sz val="10"/>
      <name val="Arial"/>
      <family val="2"/>
    </font>
    <font>
      <i/>
      <sz val="10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/>
    </xf>
    <xf numFmtId="166" fontId="3" fillId="0" borderId="1" xfId="1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165" fontId="0" fillId="0" borderId="0" xfId="0" applyNumberFormat="1" applyBorder="1" applyAlignment="1">
      <alignment horizontal="center" vertical="center"/>
    </xf>
    <xf numFmtId="167" fontId="3" fillId="0" borderId="1" xfId="0" applyNumberFormat="1" applyFont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68" fontId="0" fillId="0" borderId="1" xfId="0" applyNumberFormat="1" applyFont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/>
  </cellXfs>
  <cellStyles count="2">
    <cellStyle name="Normal" xfId="0" builtinId="0"/>
    <cellStyle name="Normal 2" xfId="1" xr:uid="{A3BCD5E1-0C92-4863-BFA6-0556B663BB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23E00-906D-4AF5-9A87-9B38FC576C1C}">
  <dimension ref="A1:T18"/>
  <sheetViews>
    <sheetView tabSelected="1" workbookViewId="0">
      <selection activeCell="J14" sqref="J14"/>
    </sheetView>
  </sheetViews>
  <sheetFormatPr defaultRowHeight="14.4" x14ac:dyDescent="0.3"/>
  <cols>
    <col min="1" max="1" width="9.6640625" style="1" bestFit="1" customWidth="1"/>
    <col min="2" max="2" width="12.88671875" style="1" bestFit="1" customWidth="1"/>
    <col min="3" max="3" width="11.77734375" style="1" bestFit="1" customWidth="1"/>
    <col min="4" max="7" width="8.88671875" style="1"/>
    <col min="8" max="9" width="12.5546875" style="1" customWidth="1"/>
    <col min="10" max="10" width="10.109375" style="1" bestFit="1" customWidth="1"/>
    <col min="11" max="11" width="12.77734375" style="1" bestFit="1" customWidth="1"/>
    <col min="12" max="12" width="12.5546875" style="1" bestFit="1" customWidth="1"/>
    <col min="13" max="15" width="10.109375" style="1" customWidth="1"/>
    <col min="16" max="16" width="22.44140625" style="1" bestFit="1" customWidth="1"/>
    <col min="17" max="17" width="11.109375" style="1" bestFit="1" customWidth="1"/>
    <col min="18" max="18" width="8.88671875" style="1"/>
    <col min="19" max="20" width="7.88671875" style="1" customWidth="1"/>
    <col min="21" max="16384" width="8.88671875" style="1"/>
  </cols>
  <sheetData>
    <row r="1" spans="1:20" s="2" customFormat="1" ht="43.2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16</v>
      </c>
      <c r="G1" s="5" t="s">
        <v>5</v>
      </c>
      <c r="H1" s="11" t="s">
        <v>17</v>
      </c>
      <c r="I1" s="11" t="s">
        <v>92</v>
      </c>
      <c r="J1" s="5" t="s">
        <v>21</v>
      </c>
      <c r="K1" s="5" t="s">
        <v>93</v>
      </c>
      <c r="L1" s="5" t="s">
        <v>94</v>
      </c>
      <c r="M1" s="5" t="s">
        <v>63</v>
      </c>
      <c r="N1" s="3"/>
      <c r="O1" s="3"/>
      <c r="P1" s="5" t="s">
        <v>22</v>
      </c>
      <c r="Q1" s="6">
        <f>COUNTIF(D2:D11, "&gt;50")</f>
        <v>8</v>
      </c>
    </row>
    <row r="2" spans="1:20" ht="14.4" customHeight="1" x14ac:dyDescent="0.3">
      <c r="A2" s="6">
        <v>1</v>
      </c>
      <c r="B2" s="7" t="s">
        <v>6</v>
      </c>
      <c r="C2" s="20">
        <v>38425</v>
      </c>
      <c r="D2" s="7">
        <v>92</v>
      </c>
      <c r="E2" s="7">
        <v>88</v>
      </c>
      <c r="F2" s="8">
        <f t="shared" ref="F2:F11" si="0">AVERAGE(D2:E2)</f>
        <v>90</v>
      </c>
      <c r="G2" s="6" t="str" cm="1">
        <f t="array" ref="G2">IF(OR(D2&lt;35,E2&lt;35),"F",_xlfn.IFS(AVERAGE(D2:E2)&gt;90,"A",AVERAGE(D2:E2)&gt;75,"B",AVERAGE(D2:E2)&gt;60,"C",AVERAGE(D2:E2)&gt;50,"D",TRUE,"F"))</f>
        <v>B</v>
      </c>
      <c r="H2" s="6" t="str">
        <f>IF(AND(D2&gt;80, E2&gt;80), "YES", "NO")</f>
        <v>YES</v>
      </c>
      <c r="I2" s="6">
        <f>IF(AND(D2&gt;60, E2&gt;60), AVERAGE(D2:E2), "-")</f>
        <v>90</v>
      </c>
      <c r="J2" s="6" t="str">
        <f>LEFT(B2, FIND(" ",B2)-1)</f>
        <v>Aarav</v>
      </c>
      <c r="K2" s="6" t="str">
        <f>UPPER(J2)</f>
        <v>AARAV</v>
      </c>
      <c r="L2" s="6" t="str">
        <f>LOWER(J2)</f>
        <v>aarav</v>
      </c>
      <c r="M2" s="6">
        <f ca="1">DATEDIF(C2, TODAY(), "y")</f>
        <v>21</v>
      </c>
      <c r="N2" s="4"/>
      <c r="O2" s="4"/>
      <c r="P2" s="10"/>
      <c r="S2" s="3"/>
      <c r="T2" s="4"/>
    </row>
    <row r="3" spans="1:20" x14ac:dyDescent="0.3">
      <c r="A3" s="6">
        <v>2</v>
      </c>
      <c r="B3" s="7" t="s">
        <v>7</v>
      </c>
      <c r="C3" s="20">
        <v>39651</v>
      </c>
      <c r="D3" s="7">
        <v>76</v>
      </c>
      <c r="E3" s="7">
        <v>81</v>
      </c>
      <c r="F3" s="8">
        <f t="shared" si="0"/>
        <v>78.5</v>
      </c>
      <c r="G3" s="6" t="str" cm="1">
        <f t="array" ref="G3">IF(OR(D3&lt;35,E3&lt;35),"F",_xlfn.IFS(AVERAGE(D3:E3)&gt;90,"A",AVERAGE(D3:E3)&gt;75,"B",AVERAGE(D3:E3)&gt;60,"C",AVERAGE(D3:E3)&gt;50,"D",TRUE,"F"))</f>
        <v>B</v>
      </c>
      <c r="H3" s="6" t="str">
        <f t="shared" ref="H3:H11" si="1">IF(AND(D3&gt;80, E3&gt;80), "YES", "NO")</f>
        <v>NO</v>
      </c>
      <c r="I3" s="6">
        <f t="shared" ref="I3:I11" si="2">IF(AND(D3&gt;60, E3&gt;60), AVERAGE(D3:E3), "-")</f>
        <v>78.5</v>
      </c>
      <c r="J3" s="6" t="str">
        <f t="shared" ref="J3:J11" si="3">LEFT(B3, FIND(" ",B3)-1)</f>
        <v>Priya</v>
      </c>
      <c r="K3" s="6" t="str">
        <f t="shared" ref="K3:K11" si="4">UPPER(J3)</f>
        <v>PRIYA</v>
      </c>
      <c r="L3" s="6" t="str">
        <f t="shared" ref="L3:L11" si="5">LOWER(J3)</f>
        <v>priya</v>
      </c>
      <c r="M3" s="6">
        <f t="shared" ref="M3:M11" ca="1" si="6">DATEDIF(C3, TODAY(), "y")</f>
        <v>18</v>
      </c>
      <c r="N3" s="4"/>
      <c r="O3" s="4"/>
      <c r="P3" s="5" t="s">
        <v>18</v>
      </c>
      <c r="Q3" s="6">
        <v>10</v>
      </c>
      <c r="S3" s="13"/>
      <c r="T3" s="4"/>
    </row>
    <row r="4" spans="1:20" x14ac:dyDescent="0.3">
      <c r="A4" s="6">
        <v>3</v>
      </c>
      <c r="B4" s="7" t="s">
        <v>8</v>
      </c>
      <c r="C4" s="20">
        <v>39026</v>
      </c>
      <c r="D4" s="7">
        <v>45</v>
      </c>
      <c r="E4" s="7">
        <v>34</v>
      </c>
      <c r="F4" s="8">
        <f t="shared" si="0"/>
        <v>39.5</v>
      </c>
      <c r="G4" s="6" t="str" cm="1">
        <f t="array" ref="G4">IF(OR(D4&lt;35,E4&lt;35),"F",_xlfn.IFS(AVERAGE(D4:E4)&gt;90,"A",AVERAGE(D4:E4)&gt;75,"B",AVERAGE(D4:E4)&gt;60,"C",AVERAGE(D4:E4)&gt;50,"D",TRUE,"F"))</f>
        <v>F</v>
      </c>
      <c r="H4" s="6" t="str">
        <f t="shared" si="1"/>
        <v>NO</v>
      </c>
      <c r="I4" s="6" t="str">
        <f t="shared" si="2"/>
        <v>-</v>
      </c>
      <c r="J4" s="6" t="str">
        <f t="shared" si="3"/>
        <v>Rohan</v>
      </c>
      <c r="K4" s="6" t="str">
        <f t="shared" si="4"/>
        <v>ROHAN</v>
      </c>
      <c r="L4" s="6" t="str">
        <f t="shared" si="5"/>
        <v>rohan</v>
      </c>
      <c r="M4" s="6">
        <f t="shared" ca="1" si="6"/>
        <v>19</v>
      </c>
      <c r="N4" s="4"/>
      <c r="O4" s="4"/>
      <c r="P4" s="5" t="s">
        <v>19</v>
      </c>
      <c r="Q4" s="6">
        <v>2</v>
      </c>
      <c r="S4" s="3"/>
      <c r="T4" s="4"/>
    </row>
    <row r="5" spans="1:20" x14ac:dyDescent="0.3">
      <c r="A5" s="6">
        <v>4</v>
      </c>
      <c r="B5" s="7" t="s">
        <v>9</v>
      </c>
      <c r="C5" s="20">
        <v>39477</v>
      </c>
      <c r="D5" s="7">
        <v>88</v>
      </c>
      <c r="E5" s="7">
        <v>94</v>
      </c>
      <c r="F5" s="8">
        <f t="shared" si="0"/>
        <v>91</v>
      </c>
      <c r="G5" s="6" t="str" cm="1">
        <f t="array" ref="G5">IF(OR(D5&lt;35,E5&lt;35),"F",_xlfn.IFS(AVERAGE(D5:E5)&gt;90,"A",AVERAGE(D5:E5)&gt;75,"B",AVERAGE(D5:E5)&gt;60,"C",AVERAGE(D5:E5)&gt;50,"D",TRUE,"F"))</f>
        <v>A</v>
      </c>
      <c r="H5" s="6" t="str">
        <f t="shared" si="1"/>
        <v>YES</v>
      </c>
      <c r="I5" s="6">
        <f t="shared" si="2"/>
        <v>91</v>
      </c>
      <c r="J5" s="6" t="str">
        <f t="shared" si="3"/>
        <v>Sneha</v>
      </c>
      <c r="K5" s="6" t="str">
        <f t="shared" si="4"/>
        <v>SNEHA</v>
      </c>
      <c r="L5" s="6" t="str">
        <f t="shared" si="5"/>
        <v>sneha</v>
      </c>
      <c r="M5" s="6">
        <f t="shared" ca="1" si="6"/>
        <v>18</v>
      </c>
      <c r="N5" s="4"/>
      <c r="O5" s="4"/>
      <c r="P5" s="5" t="s">
        <v>20</v>
      </c>
      <c r="Q5" s="12" t="str">
        <f>VLOOKUP(Q3,A2:H11, Q4, FALSE)</f>
        <v>Anaya Reddy</v>
      </c>
      <c r="S5" s="3"/>
      <c r="T5" s="4"/>
    </row>
    <row r="6" spans="1:20" x14ac:dyDescent="0.3">
      <c r="A6" s="6">
        <v>5</v>
      </c>
      <c r="B6" s="7" t="s">
        <v>10</v>
      </c>
      <c r="C6" s="20">
        <v>40074</v>
      </c>
      <c r="D6" s="7">
        <v>63</v>
      </c>
      <c r="E6" s="7">
        <v>30</v>
      </c>
      <c r="F6" s="8">
        <f t="shared" si="0"/>
        <v>46.5</v>
      </c>
      <c r="G6" s="6" t="str" cm="1">
        <f t="array" ref="G6">IF(OR(D6&lt;35,E6&lt;35),"F",_xlfn.IFS(AVERAGE(D6:E6)&gt;90,"A",AVERAGE(D6:E6)&gt;75,"B",AVERAGE(D6:E6)&gt;60,"C",AVERAGE(D6:E6)&gt;50,"D",TRUE,"F"))</f>
        <v>F</v>
      </c>
      <c r="H6" s="6" t="str">
        <f t="shared" si="1"/>
        <v>NO</v>
      </c>
      <c r="I6" s="6" t="str">
        <f t="shared" si="2"/>
        <v>-</v>
      </c>
      <c r="J6" s="6" t="str">
        <f t="shared" si="3"/>
        <v>Karan</v>
      </c>
      <c r="K6" s="6" t="str">
        <f t="shared" si="4"/>
        <v>KARAN</v>
      </c>
      <c r="L6" s="6" t="str">
        <f t="shared" si="5"/>
        <v>karan</v>
      </c>
      <c r="M6" s="6">
        <f t="shared" ca="1" si="6"/>
        <v>16</v>
      </c>
      <c r="N6" s="4"/>
      <c r="O6" s="4"/>
      <c r="P6" s="4"/>
      <c r="Q6" s="4"/>
      <c r="S6" s="3"/>
      <c r="T6" s="14"/>
    </row>
    <row r="7" spans="1:20" x14ac:dyDescent="0.3">
      <c r="A7" s="6">
        <v>6</v>
      </c>
      <c r="B7" s="7" t="s">
        <v>11</v>
      </c>
      <c r="C7" s="20">
        <v>39577</v>
      </c>
      <c r="D7" s="7">
        <v>91</v>
      </c>
      <c r="E7" s="7">
        <v>85</v>
      </c>
      <c r="F7" s="8">
        <f t="shared" si="0"/>
        <v>88</v>
      </c>
      <c r="G7" s="6" t="str" cm="1">
        <f t="array" ref="G7">IF(OR(D7&lt;35,E7&lt;35),"F",_xlfn.IFS(AVERAGE(D7:E7)&gt;90,"A",AVERAGE(D7:E7)&gt;75,"B",AVERAGE(D7:E7)&gt;60,"C",AVERAGE(D7:E7)&gt;50,"D",TRUE,"F"))</f>
        <v>B</v>
      </c>
      <c r="H7" s="6" t="str">
        <f t="shared" si="1"/>
        <v>YES</v>
      </c>
      <c r="I7" s="6">
        <f t="shared" si="2"/>
        <v>88</v>
      </c>
      <c r="J7" s="6" t="str">
        <f t="shared" si="3"/>
        <v>Diya</v>
      </c>
      <c r="K7" s="6" t="str">
        <f t="shared" si="4"/>
        <v>DIYA</v>
      </c>
      <c r="L7" s="6" t="str">
        <f t="shared" si="5"/>
        <v>diya</v>
      </c>
      <c r="M7" s="6">
        <f t="shared" ca="1" si="6"/>
        <v>18</v>
      </c>
      <c r="N7" s="4"/>
      <c r="O7" s="4"/>
      <c r="P7" s="4"/>
      <c r="Q7" s="4"/>
    </row>
    <row r="8" spans="1:20" x14ac:dyDescent="0.3">
      <c r="A8" s="6">
        <v>7</v>
      </c>
      <c r="B8" s="7" t="s">
        <v>12</v>
      </c>
      <c r="C8" s="20">
        <v>38775</v>
      </c>
      <c r="D8" s="7">
        <v>55</v>
      </c>
      <c r="E8" s="7">
        <v>62</v>
      </c>
      <c r="F8" s="8">
        <f t="shared" si="0"/>
        <v>58.5</v>
      </c>
      <c r="G8" s="6" t="str" cm="1">
        <f t="array" ref="G8">IF(OR(D8&lt;35,E8&lt;35),"F",_xlfn.IFS(AVERAGE(D8:E8)&gt;90,"A",AVERAGE(D8:E8)&gt;75,"B",AVERAGE(D8:E8)&gt;60,"C",AVERAGE(D8:E8)&gt;50,"D",TRUE,"F"))</f>
        <v>D</v>
      </c>
      <c r="H8" s="6" t="str">
        <f t="shared" si="1"/>
        <v>NO</v>
      </c>
      <c r="I8" s="6" t="str">
        <f t="shared" si="2"/>
        <v>-</v>
      </c>
      <c r="J8" s="6" t="str">
        <f t="shared" si="3"/>
        <v>Arjun</v>
      </c>
      <c r="K8" s="6" t="str">
        <f t="shared" si="4"/>
        <v>ARJUN</v>
      </c>
      <c r="L8" s="6" t="str">
        <f t="shared" si="5"/>
        <v>arjun</v>
      </c>
      <c r="M8" s="6">
        <f t="shared" ca="1" si="6"/>
        <v>20</v>
      </c>
      <c r="N8" s="4"/>
      <c r="O8" s="4"/>
      <c r="P8" s="4"/>
      <c r="Q8" s="4"/>
    </row>
    <row r="9" spans="1:20" x14ac:dyDescent="0.3">
      <c r="A9" s="6">
        <v>8</v>
      </c>
      <c r="B9" s="9" t="s">
        <v>13</v>
      </c>
      <c r="C9" s="20">
        <v>39428</v>
      </c>
      <c r="D9" s="7">
        <v>39</v>
      </c>
      <c r="E9" s="7">
        <v>44</v>
      </c>
      <c r="F9" s="8">
        <f t="shared" si="0"/>
        <v>41.5</v>
      </c>
      <c r="G9" s="6" t="str" cm="1">
        <f t="array" ref="G9">IF(OR(D9&lt;35,E9&lt;35),"F",_xlfn.IFS(AVERAGE(D9:E9)&gt;90,"A",AVERAGE(D9:E9)&gt;75,"B",AVERAGE(D9:E9)&gt;60,"C",AVERAGE(D9:E9)&gt;50,"D",TRUE,"F"))</f>
        <v>F</v>
      </c>
      <c r="H9" s="6" t="str">
        <f t="shared" si="1"/>
        <v>NO</v>
      </c>
      <c r="I9" s="6" t="str">
        <f t="shared" si="2"/>
        <v>-</v>
      </c>
      <c r="J9" s="6" t="str">
        <f t="shared" si="3"/>
        <v>Meera</v>
      </c>
      <c r="K9" s="6" t="str">
        <f t="shared" si="4"/>
        <v>MEERA</v>
      </c>
      <c r="L9" s="6" t="str">
        <f t="shared" si="5"/>
        <v>meera</v>
      </c>
      <c r="M9" s="6">
        <f t="shared" ca="1" si="6"/>
        <v>18</v>
      </c>
      <c r="N9" s="4"/>
      <c r="O9" s="4"/>
      <c r="P9" s="4"/>
      <c r="Q9" s="4"/>
    </row>
    <row r="10" spans="1:20" x14ac:dyDescent="0.3">
      <c r="A10" s="6">
        <v>9</v>
      </c>
      <c r="B10" s="7" t="s">
        <v>14</v>
      </c>
      <c r="C10" s="20">
        <v>38932</v>
      </c>
      <c r="D10" s="7">
        <v>84</v>
      </c>
      <c r="E10" s="7">
        <v>90</v>
      </c>
      <c r="F10" s="8">
        <f t="shared" si="0"/>
        <v>87</v>
      </c>
      <c r="G10" s="6" t="str" cm="1">
        <f t="array" ref="G10">IF(OR(D10&lt;35,E10&lt;35),"F",_xlfn.IFS(AVERAGE(D10:E10)&gt;90,"A",AVERAGE(D10:E10)&gt;75,"B",AVERAGE(D10:E10)&gt;60,"C",AVERAGE(D10:E10)&gt;50,"D",TRUE,"F"))</f>
        <v>B</v>
      </c>
      <c r="H10" s="6" t="str">
        <f t="shared" si="1"/>
        <v>YES</v>
      </c>
      <c r="I10" s="6">
        <f t="shared" si="2"/>
        <v>87</v>
      </c>
      <c r="J10" s="6" t="str">
        <f t="shared" si="3"/>
        <v>Vivaan</v>
      </c>
      <c r="K10" s="6" t="str">
        <f t="shared" si="4"/>
        <v>VIVAAN</v>
      </c>
      <c r="L10" s="6" t="str">
        <f t="shared" si="5"/>
        <v>vivaan</v>
      </c>
      <c r="M10" s="6">
        <f t="shared" ca="1" si="6"/>
        <v>20</v>
      </c>
      <c r="N10" s="4"/>
      <c r="O10" s="4"/>
      <c r="P10" s="4"/>
      <c r="Q10" s="4"/>
    </row>
    <row r="11" spans="1:20" x14ac:dyDescent="0.3">
      <c r="A11" s="6">
        <v>10</v>
      </c>
      <c r="B11" s="7" t="s">
        <v>15</v>
      </c>
      <c r="C11" s="20">
        <v>39554</v>
      </c>
      <c r="D11" s="7">
        <v>71</v>
      </c>
      <c r="E11" s="7">
        <v>68</v>
      </c>
      <c r="F11" s="8">
        <f t="shared" si="0"/>
        <v>69.5</v>
      </c>
      <c r="G11" s="6" t="str" cm="1">
        <f t="array" ref="G11">IF(OR(D11&lt;35,E11&lt;35),"F",_xlfn.IFS(AVERAGE(D11:E11)&gt;90,"A",AVERAGE(D11:E11)&gt;75,"B",AVERAGE(D11:E11)&gt;60,"C",AVERAGE(D11:E11)&gt;50,"D",TRUE,"F"))</f>
        <v>C</v>
      </c>
      <c r="H11" s="6" t="str">
        <f t="shared" si="1"/>
        <v>NO</v>
      </c>
      <c r="I11" s="6">
        <f t="shared" si="2"/>
        <v>69.5</v>
      </c>
      <c r="J11" s="6" t="str">
        <f t="shared" si="3"/>
        <v>Anaya</v>
      </c>
      <c r="K11" s="6" t="str">
        <f t="shared" si="4"/>
        <v>ANAYA</v>
      </c>
      <c r="L11" s="6" t="str">
        <f t="shared" si="5"/>
        <v>anaya</v>
      </c>
      <c r="M11" s="6">
        <f t="shared" ca="1" si="6"/>
        <v>18</v>
      </c>
      <c r="N11" s="4"/>
      <c r="O11" s="4"/>
      <c r="P11" s="4"/>
      <c r="Q11" s="4"/>
    </row>
    <row r="13" spans="1:20" x14ac:dyDescent="0.3">
      <c r="Q13"/>
    </row>
    <row r="14" spans="1:20" s="2" customFormat="1" x14ac:dyDescent="0.3">
      <c r="A14" s="5" t="s">
        <v>23</v>
      </c>
      <c r="B14" s="5" t="s">
        <v>24</v>
      </c>
      <c r="C14" s="5" t="s">
        <v>25</v>
      </c>
    </row>
    <row r="15" spans="1:20" x14ac:dyDescent="0.3">
      <c r="A15" s="6">
        <v>1</v>
      </c>
      <c r="B15" s="29" t="str" cm="1">
        <f t="array" ref="B15:B18">_xlfn._xlws.FILTER(B2:B11, (F2:F11&gt;=80))</f>
        <v>Aarav Sharma</v>
      </c>
      <c r="C15" s="6" cm="1">
        <f t="array" ref="C15:C18">_xlfn._xlws.FILTER(F2:F11, (F2:F11&gt;=80))</f>
        <v>90</v>
      </c>
    </row>
    <row r="16" spans="1:20" x14ac:dyDescent="0.3">
      <c r="A16" s="6">
        <v>2</v>
      </c>
      <c r="B16" s="6" t="str">
        <v>Sneha Iyer</v>
      </c>
      <c r="C16" s="6">
        <v>91</v>
      </c>
    </row>
    <row r="17" spans="1:3" x14ac:dyDescent="0.3">
      <c r="A17" s="6">
        <v>3</v>
      </c>
      <c r="B17" s="6" t="str">
        <v>Diya Patel</v>
      </c>
      <c r="C17" s="6">
        <v>88</v>
      </c>
    </row>
    <row r="18" spans="1:3" x14ac:dyDescent="0.3">
      <c r="A18" s="6">
        <v>4</v>
      </c>
      <c r="B18" s="6" t="str">
        <v>Vivaan Gupta</v>
      </c>
      <c r="C18" s="6">
        <v>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1F939-2C2C-4842-804C-2B001698A63F}">
  <dimension ref="A1:P18"/>
  <sheetViews>
    <sheetView zoomScaleNormal="100" workbookViewId="0">
      <selection activeCell="N15" sqref="N15"/>
    </sheetView>
  </sheetViews>
  <sheetFormatPr defaultRowHeight="14.4" x14ac:dyDescent="0.3"/>
  <cols>
    <col min="1" max="3" width="8.88671875" style="1"/>
    <col min="4" max="4" width="12" style="1" bestFit="1" customWidth="1"/>
    <col min="5" max="5" width="12.33203125" style="1" bestFit="1" customWidth="1"/>
    <col min="6" max="8" width="8.88671875" style="1"/>
    <col min="9" max="9" width="13.5546875" style="1" bestFit="1" customWidth="1"/>
    <col min="10" max="10" width="11.88671875" style="1" bestFit="1" customWidth="1"/>
    <col min="11" max="11" width="11.5546875" style="1" bestFit="1" customWidth="1"/>
    <col min="12" max="12" width="8.88671875" style="1"/>
    <col min="13" max="13" width="10.88671875" style="1" customWidth="1"/>
    <col min="14" max="14" width="10.109375" style="1" bestFit="1" customWidth="1"/>
    <col min="15" max="15" width="8.88671875" style="1" customWidth="1"/>
    <col min="16" max="16384" width="8.88671875" style="1"/>
  </cols>
  <sheetData>
    <row r="1" spans="1:16" s="2" customFormat="1" ht="28.8" x14ac:dyDescent="0.3">
      <c r="A1" s="5" t="s">
        <v>26</v>
      </c>
      <c r="B1" s="5" t="s">
        <v>27</v>
      </c>
      <c r="C1" s="5" t="s">
        <v>28</v>
      </c>
      <c r="D1" s="5" t="s">
        <v>29</v>
      </c>
      <c r="E1" s="5" t="s">
        <v>30</v>
      </c>
      <c r="F1" s="5" t="s">
        <v>31</v>
      </c>
      <c r="G1" s="5" t="s">
        <v>32</v>
      </c>
      <c r="H1" s="5" t="s">
        <v>33</v>
      </c>
      <c r="I1" s="5" t="s">
        <v>34</v>
      </c>
      <c r="J1" s="5" t="s">
        <v>62</v>
      </c>
      <c r="K1" s="5" t="s">
        <v>35</v>
      </c>
      <c r="L1" s="11" t="s">
        <v>95</v>
      </c>
      <c r="N1" s="3"/>
      <c r="O1" s="3"/>
      <c r="P1" s="18"/>
    </row>
    <row r="2" spans="1:16" x14ac:dyDescent="0.3">
      <c r="A2" s="6">
        <v>1</v>
      </c>
      <c r="B2" s="15" t="s">
        <v>36</v>
      </c>
      <c r="C2" s="15" t="s">
        <v>40</v>
      </c>
      <c r="D2" s="15">
        <v>101</v>
      </c>
      <c r="E2" s="15" t="s">
        <v>44</v>
      </c>
      <c r="F2" s="15" t="s">
        <v>48</v>
      </c>
      <c r="G2" s="16">
        <v>55000</v>
      </c>
      <c r="H2" s="15">
        <v>3</v>
      </c>
      <c r="I2" s="17">
        <f>G2*H2</f>
        <v>165000</v>
      </c>
      <c r="J2" s="21" t="s">
        <v>64</v>
      </c>
      <c r="K2" s="6" t="str" cm="1">
        <f t="array" ref="K2">_xlfn.IFS(G2&gt;=50000, "15%", G2&gt;=25000, "10%", G2&gt;=10000, "5%", G2&gt;=5000, "2%", TRUE, "0%")</f>
        <v>15%</v>
      </c>
      <c r="L2" s="6" t="str">
        <f>IF(OR(G2&gt;=5000,H2&gt;=50),"YES","NO")</f>
        <v>YES</v>
      </c>
      <c r="N2" s="4"/>
      <c r="O2" s="4"/>
      <c r="P2" s="4"/>
    </row>
    <row r="3" spans="1:16" x14ac:dyDescent="0.3">
      <c r="A3" s="6">
        <v>2</v>
      </c>
      <c r="B3" s="15" t="s">
        <v>37</v>
      </c>
      <c r="C3" s="15" t="s">
        <v>41</v>
      </c>
      <c r="D3" s="15">
        <v>102</v>
      </c>
      <c r="E3" s="15" t="s">
        <v>45</v>
      </c>
      <c r="F3" s="15" t="s">
        <v>48</v>
      </c>
      <c r="G3" s="16">
        <v>11000</v>
      </c>
      <c r="H3" s="15">
        <v>12</v>
      </c>
      <c r="I3" s="17">
        <f t="shared" ref="I3:I11" si="0">G3*H3</f>
        <v>132000</v>
      </c>
      <c r="J3" s="21" t="s">
        <v>65</v>
      </c>
      <c r="K3" s="6" t="str" cm="1">
        <f t="array" ref="K3">_xlfn.IFS(G3&gt;=50000, "15%", G3&gt;=25000, "10%", G3&gt;=10000, "5%", G3&gt;=5000, "2%", TRUE, "0%")</f>
        <v>5%</v>
      </c>
      <c r="L3" s="6" t="str">
        <f t="shared" ref="L3:L11" si="1">IF(OR(G3&gt;=5000,H3&gt;=50),"YES","NO")</f>
        <v>YES</v>
      </c>
      <c r="N3" s="4"/>
      <c r="O3" s="4"/>
      <c r="P3" s="4"/>
    </row>
    <row r="4" spans="1:16" x14ac:dyDescent="0.3">
      <c r="A4" s="6">
        <v>3</v>
      </c>
      <c r="B4" s="15" t="s">
        <v>36</v>
      </c>
      <c r="C4" s="15" t="s">
        <v>40</v>
      </c>
      <c r="D4" s="15">
        <v>101</v>
      </c>
      <c r="E4" s="15" t="s">
        <v>44</v>
      </c>
      <c r="F4" s="15" t="s">
        <v>49</v>
      </c>
      <c r="G4" s="16">
        <v>55000</v>
      </c>
      <c r="H4" s="15">
        <v>5</v>
      </c>
      <c r="I4" s="17">
        <f t="shared" si="0"/>
        <v>275000</v>
      </c>
      <c r="J4" s="22">
        <v>46360</v>
      </c>
      <c r="K4" s="6" t="str" cm="1">
        <f t="array" ref="K4">_xlfn.IFS(G4&gt;=50000, "15%", G4&gt;=25000, "10%", G4&gt;=10000, "5%", G4&gt;=5000, "2%", TRUE, "0%")</f>
        <v>15%</v>
      </c>
      <c r="L4" s="6" t="str">
        <f t="shared" si="1"/>
        <v>YES</v>
      </c>
      <c r="N4" s="4"/>
      <c r="O4" s="4"/>
      <c r="P4" s="4"/>
    </row>
    <row r="5" spans="1:16" x14ac:dyDescent="0.3">
      <c r="A5" s="6">
        <v>4</v>
      </c>
      <c r="B5" s="15" t="s">
        <v>38</v>
      </c>
      <c r="C5" s="15" t="s">
        <v>42</v>
      </c>
      <c r="D5" s="15">
        <v>103</v>
      </c>
      <c r="E5" s="15" t="s">
        <v>46</v>
      </c>
      <c r="F5" s="15" t="s">
        <v>49</v>
      </c>
      <c r="G5" s="16">
        <v>1200</v>
      </c>
      <c r="H5" s="15">
        <v>40</v>
      </c>
      <c r="I5" s="17">
        <f t="shared" si="0"/>
        <v>48000</v>
      </c>
      <c r="J5" s="21" t="s">
        <v>66</v>
      </c>
      <c r="K5" s="6" t="str" cm="1">
        <f t="array" ref="K5">_xlfn.IFS(G5&gt;=50000, "15%", G5&gt;=25000, "10%", G5&gt;=10000, "5%", G5&gt;=5000, "2%", TRUE, "0%")</f>
        <v>0%</v>
      </c>
      <c r="L5" s="6" t="str">
        <f t="shared" si="1"/>
        <v>NO</v>
      </c>
      <c r="N5" s="4"/>
      <c r="O5" s="4"/>
      <c r="P5" s="4"/>
    </row>
    <row r="6" spans="1:16" x14ac:dyDescent="0.3">
      <c r="A6" s="6">
        <v>5</v>
      </c>
      <c r="B6" s="15" t="s">
        <v>39</v>
      </c>
      <c r="C6" s="15" t="s">
        <v>41</v>
      </c>
      <c r="D6" s="15">
        <v>102</v>
      </c>
      <c r="E6" s="15" t="s">
        <v>47</v>
      </c>
      <c r="F6" s="15" t="s">
        <v>50</v>
      </c>
      <c r="G6" s="16">
        <v>11000</v>
      </c>
      <c r="H6" s="15">
        <v>6</v>
      </c>
      <c r="I6" s="17">
        <f t="shared" si="0"/>
        <v>66000</v>
      </c>
      <c r="J6" s="22">
        <v>46027</v>
      </c>
      <c r="K6" s="6" t="str" cm="1">
        <f t="array" ref="K6">_xlfn.IFS(G6&gt;=50000, "15%", G6&gt;=25000, "10%", G6&gt;=10000, "5%", G6&gt;=5000, "2%", TRUE, "0%")</f>
        <v>5%</v>
      </c>
      <c r="L6" s="6" t="str">
        <f t="shared" si="1"/>
        <v>YES</v>
      </c>
    </row>
    <row r="7" spans="1:16" x14ac:dyDescent="0.3">
      <c r="A7" s="6">
        <v>6</v>
      </c>
      <c r="B7" s="15" t="s">
        <v>37</v>
      </c>
      <c r="C7" s="15" t="s">
        <v>40</v>
      </c>
      <c r="D7" s="15">
        <v>101</v>
      </c>
      <c r="E7" s="15" t="s">
        <v>45</v>
      </c>
      <c r="F7" s="15" t="s">
        <v>50</v>
      </c>
      <c r="G7" s="16">
        <v>55000</v>
      </c>
      <c r="H7" s="15">
        <v>2</v>
      </c>
      <c r="I7" s="17">
        <f t="shared" si="0"/>
        <v>110000</v>
      </c>
      <c r="J7" s="17" t="s">
        <v>67</v>
      </c>
      <c r="K7" s="6" t="str" cm="1">
        <f t="array" ref="K7">_xlfn.IFS(G7&gt;=50000, "15%", G7&gt;=25000, "10%", G7&gt;=10000, "5%", G7&gt;=5000, "2%", TRUE, "0%")</f>
        <v>15%</v>
      </c>
      <c r="L7" s="6" t="str">
        <f t="shared" si="1"/>
        <v>YES</v>
      </c>
    </row>
    <row r="8" spans="1:16" x14ac:dyDescent="0.3">
      <c r="A8" s="6">
        <v>7</v>
      </c>
      <c r="B8" s="15" t="s">
        <v>36</v>
      </c>
      <c r="C8" s="15" t="s">
        <v>43</v>
      </c>
      <c r="D8" s="15">
        <v>104</v>
      </c>
      <c r="E8" s="15" t="s">
        <v>44</v>
      </c>
      <c r="F8" s="15" t="s">
        <v>51</v>
      </c>
      <c r="G8" s="16">
        <v>500</v>
      </c>
      <c r="H8" s="15">
        <v>60</v>
      </c>
      <c r="I8" s="17">
        <f t="shared" si="0"/>
        <v>30000</v>
      </c>
      <c r="J8" s="22">
        <v>46360</v>
      </c>
      <c r="K8" s="6" t="str" cm="1">
        <f t="array" ref="K8">_xlfn.IFS(G8&gt;=50000, "15%", G8&gt;=25000, "10%", G8&gt;=10000, "5%", G8&gt;=5000, "2%", TRUE, "0%")</f>
        <v>0%</v>
      </c>
      <c r="L8" s="6" t="str">
        <f t="shared" si="1"/>
        <v>YES</v>
      </c>
    </row>
    <row r="9" spans="1:16" x14ac:dyDescent="0.3">
      <c r="A9" s="6">
        <v>8</v>
      </c>
      <c r="B9" s="15" t="s">
        <v>38</v>
      </c>
      <c r="C9" s="15" t="s">
        <v>41</v>
      </c>
      <c r="D9" s="15">
        <v>102</v>
      </c>
      <c r="E9" s="15" t="s">
        <v>46</v>
      </c>
      <c r="F9" s="15" t="s">
        <v>51</v>
      </c>
      <c r="G9" s="16">
        <v>8000</v>
      </c>
      <c r="H9" s="15">
        <v>9</v>
      </c>
      <c r="I9" s="17">
        <f t="shared" si="0"/>
        <v>72000</v>
      </c>
      <c r="J9" s="21" t="s">
        <v>64</v>
      </c>
      <c r="K9" s="6" t="str" cm="1">
        <f t="array" ref="K9">_xlfn.IFS(G9&gt;=50000, "15%", G9&gt;=25000, "10%", G9&gt;=10000, "5%", G9&gt;=5000, "2%", TRUE, "0%")</f>
        <v>2%</v>
      </c>
      <c r="L9" s="6" t="str">
        <f t="shared" si="1"/>
        <v>YES</v>
      </c>
    </row>
    <row r="10" spans="1:16" x14ac:dyDescent="0.3">
      <c r="A10" s="6">
        <v>9</v>
      </c>
      <c r="B10" s="15" t="s">
        <v>39</v>
      </c>
      <c r="C10" s="15" t="s">
        <v>42</v>
      </c>
      <c r="D10" s="15">
        <v>103</v>
      </c>
      <c r="E10" s="15" t="s">
        <v>47</v>
      </c>
      <c r="F10" s="15" t="s">
        <v>52</v>
      </c>
      <c r="G10" s="16">
        <v>1200</v>
      </c>
      <c r="H10" s="15">
        <v>25</v>
      </c>
      <c r="I10" s="17">
        <f t="shared" si="0"/>
        <v>30000</v>
      </c>
      <c r="J10" s="21" t="s">
        <v>66</v>
      </c>
      <c r="K10" s="6" t="str" cm="1">
        <f t="array" ref="K10">_xlfn.IFS(G10&gt;=50000, "15%", G10&gt;=25000, "10%", G10&gt;=10000, "5%", G10&gt;=5000, "2%", TRUE, "0%")</f>
        <v>0%</v>
      </c>
      <c r="L10" s="6" t="str">
        <f t="shared" si="1"/>
        <v>NO</v>
      </c>
    </row>
    <row r="11" spans="1:16" x14ac:dyDescent="0.3">
      <c r="A11" s="6">
        <v>10</v>
      </c>
      <c r="B11" s="15" t="s">
        <v>37</v>
      </c>
      <c r="C11" s="15" t="s">
        <v>43</v>
      </c>
      <c r="D11" s="15">
        <v>104</v>
      </c>
      <c r="E11" s="15" t="s">
        <v>45</v>
      </c>
      <c r="F11" s="15" t="s">
        <v>52</v>
      </c>
      <c r="G11" s="16">
        <v>500</v>
      </c>
      <c r="H11" s="15">
        <v>70</v>
      </c>
      <c r="I11" s="17">
        <f t="shared" si="0"/>
        <v>35000</v>
      </c>
      <c r="J11" s="22">
        <v>46027</v>
      </c>
      <c r="K11" s="6" t="str" cm="1">
        <f t="array" ref="K11">_xlfn.IFS(G11&gt;=50000, "15%", G11&gt;=25000, "10%", G11&gt;=10000, "5%", G11&gt;=5000, "2%", TRUE, "0%")</f>
        <v>0%</v>
      </c>
      <c r="L11" s="6" t="str">
        <f t="shared" si="1"/>
        <v>YES</v>
      </c>
    </row>
    <row r="14" spans="1:16" s="2" customFormat="1" ht="28.8" x14ac:dyDescent="0.3">
      <c r="A14" s="5" t="s">
        <v>27</v>
      </c>
      <c r="B14" s="5" t="s">
        <v>28</v>
      </c>
      <c r="C14" s="11" t="s">
        <v>53</v>
      </c>
      <c r="E14" s="5" t="s">
        <v>30</v>
      </c>
      <c r="F14" s="5" t="s">
        <v>31</v>
      </c>
      <c r="G14" s="5" t="s">
        <v>55</v>
      </c>
      <c r="I14" s="5" t="s">
        <v>28</v>
      </c>
      <c r="J14" s="5" t="s">
        <v>56</v>
      </c>
      <c r="K14" s="3"/>
      <c r="M14" s="11" t="s">
        <v>60</v>
      </c>
      <c r="N14" s="5" t="s">
        <v>61</v>
      </c>
    </row>
    <row r="15" spans="1:16" ht="16.8" customHeight="1" x14ac:dyDescent="0.3">
      <c r="A15" s="6" t="s">
        <v>38</v>
      </c>
      <c r="B15" s="6" t="s">
        <v>42</v>
      </c>
      <c r="C15" s="6">
        <f>SUMIFS(I2:I11,B2:B11, A15,C2:C11, B15)</f>
        <v>48000</v>
      </c>
      <c r="E15" s="6" t="s">
        <v>44</v>
      </c>
      <c r="F15" s="6" t="s">
        <v>48</v>
      </c>
      <c r="G15" s="6" cm="1">
        <f t="array" ref="G15">INDEX(I2:I11, MATCH(1, (E2:E11=E15)*(F2:F11=F15), 0))</f>
        <v>165000</v>
      </c>
      <c r="I15" s="6" t="s">
        <v>42</v>
      </c>
      <c r="J15" s="6">
        <f>_xlfn.XMATCH(I15, C2:C11,0,1)</f>
        <v>4</v>
      </c>
      <c r="K15" s="4"/>
      <c r="M15" s="6">
        <v>1</v>
      </c>
      <c r="N15" s="6">
        <f ca="1">SUM(OFFSET(I11,-(M15-1),0,M15,1))</f>
        <v>35000</v>
      </c>
    </row>
    <row r="17" spans="1:11" s="2" customFormat="1" ht="28.8" x14ac:dyDescent="0.3">
      <c r="A17" s="11" t="s">
        <v>54</v>
      </c>
      <c r="B17" s="5" t="s">
        <v>32</v>
      </c>
      <c r="E17" s="5" t="s">
        <v>30</v>
      </c>
      <c r="F17" s="5" t="s">
        <v>55</v>
      </c>
      <c r="I17" s="11" t="s">
        <v>58</v>
      </c>
      <c r="J17" s="11" t="s">
        <v>57</v>
      </c>
      <c r="K17" s="18"/>
    </row>
    <row r="18" spans="1:11" x14ac:dyDescent="0.3">
      <c r="A18" s="6">
        <v>101</v>
      </c>
      <c r="B18" s="6">
        <f>VLOOKUP(A18, D2:G11, 4, FALSE)</f>
        <v>55000</v>
      </c>
      <c r="E18" s="6" t="s">
        <v>47</v>
      </c>
      <c r="F18" s="6">
        <f>_xlfn.XLOOKUP(E18, E2:E11, I2:I11, "-", 0, 1)</f>
        <v>66000</v>
      </c>
      <c r="I18" s="6" t="s">
        <v>59</v>
      </c>
      <c r="J18" s="19">
        <f ca="1">SUM(INDIRECT(I18))</f>
        <v>963000</v>
      </c>
      <c r="K18" s="23"/>
    </row>
  </sheetData>
  <phoneticPr fontId="5" type="noConversion"/>
  <dataValidations count="2">
    <dataValidation type="list" allowBlank="1" showInputMessage="1" showErrorMessage="1" sqref="N2 A15" xr:uid="{FF3E3B78-14B2-462B-B873-D5FCB075384D}">
      <formula1>$B$5:$B$8</formula1>
    </dataValidation>
    <dataValidation type="list" allowBlank="1" showInputMessage="1" showErrorMessage="1" sqref="O2 B15 I15" xr:uid="{8740F57F-162D-4DF8-86BF-418BA225374D}">
      <formula1>$C$7:$C$10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31ADF-11D0-41A2-ACA5-65ECF8517B2E}">
  <dimension ref="A1:H16"/>
  <sheetViews>
    <sheetView workbookViewId="0">
      <selection activeCell="D16" sqref="D16"/>
    </sheetView>
  </sheetViews>
  <sheetFormatPr defaultRowHeight="14.4" x14ac:dyDescent="0.3"/>
  <cols>
    <col min="1" max="1" width="10.77734375" style="1" bestFit="1" customWidth="1"/>
    <col min="2" max="2" width="12.109375" style="1" bestFit="1" customWidth="1"/>
    <col min="3" max="3" width="10.5546875" style="1" bestFit="1" customWidth="1"/>
    <col min="4" max="4" width="11.33203125" style="1" bestFit="1" customWidth="1"/>
    <col min="5" max="5" width="11.6640625" style="1" bestFit="1" customWidth="1"/>
    <col min="6" max="6" width="13.21875" style="1" bestFit="1" customWidth="1"/>
    <col min="7" max="7" width="11.21875" style="1" bestFit="1" customWidth="1"/>
    <col min="8" max="8" width="12.109375" style="1" bestFit="1" customWidth="1"/>
    <col min="9" max="16384" width="8.88671875" style="1"/>
  </cols>
  <sheetData>
    <row r="1" spans="1:8" s="2" customFormat="1" x14ac:dyDescent="0.3">
      <c r="A1" s="5" t="s">
        <v>68</v>
      </c>
      <c r="B1" s="5" t="s">
        <v>69</v>
      </c>
      <c r="C1" s="5" t="s">
        <v>70</v>
      </c>
      <c r="D1" s="5" t="s">
        <v>71</v>
      </c>
      <c r="E1" s="5" t="s">
        <v>72</v>
      </c>
      <c r="F1" s="5" t="s">
        <v>96</v>
      </c>
      <c r="G1" s="5" t="s">
        <v>90</v>
      </c>
      <c r="H1" s="2" t="s">
        <v>91</v>
      </c>
    </row>
    <row r="2" spans="1:8" x14ac:dyDescent="0.3">
      <c r="A2" s="6">
        <v>1</v>
      </c>
      <c r="B2" s="15" t="s">
        <v>73</v>
      </c>
      <c r="C2" s="15" t="s">
        <v>55</v>
      </c>
      <c r="D2" s="25">
        <v>62402.7</v>
      </c>
      <c r="E2" s="24">
        <v>43628</v>
      </c>
      <c r="F2" s="28">
        <f>ROUND(D2, 0)</f>
        <v>62403</v>
      </c>
      <c r="G2" s="28">
        <f>_xlfn.CEILING.MATH(D2, 100)</f>
        <v>62500</v>
      </c>
      <c r="H2" s="28">
        <f>_xlfn.FLOOR.MATH(D2, 100)</f>
        <v>62400</v>
      </c>
    </row>
    <row r="3" spans="1:8" x14ac:dyDescent="0.3">
      <c r="A3" s="6">
        <v>2</v>
      </c>
      <c r="B3" s="15" t="s">
        <v>74</v>
      </c>
      <c r="C3" s="15" t="s">
        <v>83</v>
      </c>
      <c r="D3" s="25">
        <v>51354.559999999998</v>
      </c>
      <c r="E3" s="24">
        <v>44230</v>
      </c>
      <c r="F3" s="28">
        <f t="shared" ref="F3:F11" si="0">ROUND(D3, 0)</f>
        <v>51355</v>
      </c>
      <c r="G3" s="28">
        <f t="shared" ref="G3:G11" si="1">_xlfn.CEILING.MATH(D3, 100)</f>
        <v>51400</v>
      </c>
      <c r="H3" s="28">
        <f t="shared" ref="H3:H11" si="2">_xlfn.FLOOR.MATH(D3, 100)</f>
        <v>51300</v>
      </c>
    </row>
    <row r="4" spans="1:8" x14ac:dyDescent="0.3">
      <c r="A4" s="6">
        <v>3</v>
      </c>
      <c r="B4" s="15" t="s">
        <v>75</v>
      </c>
      <c r="C4" s="15" t="s">
        <v>84</v>
      </c>
      <c r="D4" s="25">
        <v>75476.55</v>
      </c>
      <c r="E4" s="24">
        <v>43003</v>
      </c>
      <c r="F4" s="28">
        <f t="shared" si="0"/>
        <v>75477</v>
      </c>
      <c r="G4" s="28">
        <f t="shared" si="1"/>
        <v>75500</v>
      </c>
      <c r="H4" s="28">
        <f t="shared" si="2"/>
        <v>75400</v>
      </c>
    </row>
    <row r="5" spans="1:8" x14ac:dyDescent="0.3">
      <c r="A5" s="6">
        <v>4</v>
      </c>
      <c r="B5" s="15" t="s">
        <v>76</v>
      </c>
      <c r="C5" s="15" t="s">
        <v>85</v>
      </c>
      <c r="D5" s="25">
        <v>41565.33</v>
      </c>
      <c r="E5" s="24">
        <v>44873</v>
      </c>
      <c r="F5" s="28">
        <f t="shared" si="0"/>
        <v>41565</v>
      </c>
      <c r="G5" s="28">
        <f t="shared" si="1"/>
        <v>41600</v>
      </c>
      <c r="H5" s="28">
        <f t="shared" si="2"/>
        <v>41500</v>
      </c>
    </row>
    <row r="6" spans="1:8" x14ac:dyDescent="0.3">
      <c r="A6" s="6">
        <v>5</v>
      </c>
      <c r="B6" s="15" t="s">
        <v>77</v>
      </c>
      <c r="C6" s="15" t="s">
        <v>86</v>
      </c>
      <c r="D6" s="25">
        <v>88363.78</v>
      </c>
      <c r="E6" s="24">
        <v>43207</v>
      </c>
      <c r="F6" s="28">
        <f t="shared" si="0"/>
        <v>88364</v>
      </c>
      <c r="G6" s="28">
        <f t="shared" si="1"/>
        <v>88400</v>
      </c>
      <c r="H6" s="28">
        <f t="shared" si="2"/>
        <v>88300</v>
      </c>
    </row>
    <row r="7" spans="1:8" x14ac:dyDescent="0.3">
      <c r="A7" s="6">
        <v>6</v>
      </c>
      <c r="B7" s="15" t="s">
        <v>78</v>
      </c>
      <c r="C7" s="15" t="s">
        <v>55</v>
      </c>
      <c r="D7" s="25">
        <v>63757.57</v>
      </c>
      <c r="E7" s="24">
        <v>44042</v>
      </c>
      <c r="F7" s="28">
        <f t="shared" si="0"/>
        <v>63758</v>
      </c>
      <c r="G7" s="28">
        <f t="shared" si="1"/>
        <v>63800</v>
      </c>
      <c r="H7" s="28">
        <f t="shared" si="2"/>
        <v>63700</v>
      </c>
    </row>
    <row r="8" spans="1:8" x14ac:dyDescent="0.3">
      <c r="A8" s="6">
        <v>7</v>
      </c>
      <c r="B8" s="15" t="s">
        <v>79</v>
      </c>
      <c r="C8" s="15" t="s">
        <v>86</v>
      </c>
      <c r="D8" s="25">
        <v>47375.59</v>
      </c>
      <c r="E8" s="24">
        <v>44940</v>
      </c>
      <c r="F8" s="28">
        <f t="shared" si="0"/>
        <v>47376</v>
      </c>
      <c r="G8" s="28">
        <f t="shared" si="1"/>
        <v>47400</v>
      </c>
      <c r="H8" s="28">
        <f t="shared" si="2"/>
        <v>47300</v>
      </c>
    </row>
    <row r="9" spans="1:8" x14ac:dyDescent="0.3">
      <c r="A9" s="6">
        <v>8</v>
      </c>
      <c r="B9" s="15" t="s">
        <v>80</v>
      </c>
      <c r="C9" s="15" t="s">
        <v>84</v>
      </c>
      <c r="D9" s="25">
        <v>91824.68</v>
      </c>
      <c r="E9" s="24">
        <v>42705</v>
      </c>
      <c r="F9" s="28">
        <f t="shared" si="0"/>
        <v>91825</v>
      </c>
      <c r="G9" s="28">
        <f t="shared" si="1"/>
        <v>91900</v>
      </c>
      <c r="H9" s="28">
        <f t="shared" si="2"/>
        <v>91800</v>
      </c>
    </row>
    <row r="10" spans="1:8" x14ac:dyDescent="0.3">
      <c r="A10" s="6">
        <v>9</v>
      </c>
      <c r="B10" s="6" t="s">
        <v>81</v>
      </c>
      <c r="C10" s="6" t="s">
        <v>86</v>
      </c>
      <c r="D10" s="25">
        <v>75235.66</v>
      </c>
      <c r="E10" s="22" t="s">
        <v>87</v>
      </c>
      <c r="F10" s="28">
        <f t="shared" si="0"/>
        <v>75236</v>
      </c>
      <c r="G10" s="28">
        <f t="shared" si="1"/>
        <v>75300</v>
      </c>
      <c r="H10" s="28">
        <f t="shared" si="2"/>
        <v>75200</v>
      </c>
    </row>
    <row r="11" spans="1:8" x14ac:dyDescent="0.3">
      <c r="A11" s="6">
        <v>10</v>
      </c>
      <c r="B11" s="6" t="s">
        <v>82</v>
      </c>
      <c r="C11" s="6" t="s">
        <v>55</v>
      </c>
      <c r="D11" s="25">
        <v>65175.79</v>
      </c>
      <c r="E11" s="22" t="s">
        <v>88</v>
      </c>
      <c r="F11" s="28">
        <f t="shared" si="0"/>
        <v>65176</v>
      </c>
      <c r="G11" s="28">
        <f t="shared" si="1"/>
        <v>65200</v>
      </c>
      <c r="H11" s="28">
        <f t="shared" si="2"/>
        <v>65100</v>
      </c>
    </row>
    <row r="12" spans="1:8" x14ac:dyDescent="0.3">
      <c r="A12" s="4"/>
      <c r="B12" s="4"/>
      <c r="C12" s="4"/>
      <c r="D12" s="4"/>
      <c r="E12" s="4"/>
    </row>
    <row r="13" spans="1:8" x14ac:dyDescent="0.3">
      <c r="A13" s="5" t="s">
        <v>68</v>
      </c>
      <c r="B13" s="6">
        <v>1</v>
      </c>
      <c r="D13" s="5" t="s">
        <v>68</v>
      </c>
      <c r="E13" s="6">
        <v>1</v>
      </c>
    </row>
    <row r="14" spans="1:8" s="2" customFormat="1" ht="28.8" x14ac:dyDescent="0.3">
      <c r="A14" s="11" t="s">
        <v>89</v>
      </c>
      <c r="B14" s="26" t="str">
        <f>INDEX(B2:B11,MATCH($B$13,A2:A11,0))</f>
        <v>Nikhil Bhatt</v>
      </c>
      <c r="D14" s="5" t="s">
        <v>71</v>
      </c>
      <c r="E14" s="27">
        <f>_xlfn.XLOOKUP(E13, A2:A11, D2:D11, "-", 0, 1)</f>
        <v>62402.7</v>
      </c>
    </row>
    <row r="15" spans="1:8" x14ac:dyDescent="0.3">
      <c r="A15" s="5" t="s">
        <v>70</v>
      </c>
      <c r="B15" s="26" t="str">
        <f>INDEX(C2:C11,MATCH($B$13,A2:A11,0))</f>
        <v>Sales</v>
      </c>
    </row>
    <row r="16" spans="1:8" x14ac:dyDescent="0.3">
      <c r="A16" s="5" t="s">
        <v>71</v>
      </c>
      <c r="B16" s="27">
        <f>INDEX(D2:D11,MATCH($B$13,A2:A11,0))</f>
        <v>62402.7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</vt:lpstr>
      <vt:lpstr>Sales Data</vt:lpstr>
      <vt:lpstr>Employee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Tirth D</dc:creator>
  <cp:lastModifiedBy>Tirth D</cp:lastModifiedBy>
  <dcterms:created xsi:type="dcterms:W3CDTF">2026-08-29T09:02:49Z</dcterms:created>
  <dcterms:modified xsi:type="dcterms:W3CDTF">2026-09-01T09:15:13Z</dcterms:modified>
</cp:coreProperties>
</file>